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AnMoi\PythonExcel\"/>
    </mc:Choice>
  </mc:AlternateContent>
  <xr:revisionPtr revIDLastSave="0" documentId="8_{02B9DF39-CA0C-4ADE-A5C1-5855F3A7A40A}" xr6:coauthVersionLast="47" xr6:coauthVersionMax="47" xr10:uidLastSave="{00000000-0000-0000-0000-000000000000}"/>
  <bookViews>
    <workbookView xWindow="-120" yWindow="-120" windowWidth="29040" windowHeight="15720" xr2:uid="{E2EBF7B3-A68D-4DB4-93CA-E5D265CFED40}"/>
  </bookViews>
  <sheets>
    <sheet name="28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4" i="2" l="1"/>
  <c r="AB44" i="2"/>
  <c r="AA44" i="2"/>
  <c r="Z44" i="2"/>
  <c r="Y44" i="2"/>
  <c r="X44" i="2"/>
  <c r="W44" i="2"/>
  <c r="W18" i="2" s="1"/>
  <c r="V44" i="2"/>
  <c r="U44" i="2"/>
  <c r="T44" i="2"/>
  <c r="S44" i="2"/>
  <c r="R44" i="2"/>
  <c r="R18" i="2" s="1"/>
  <c r="Q44" i="2"/>
  <c r="Q18" i="2" s="1"/>
  <c r="P44" i="2"/>
  <c r="P18" i="2" s="1"/>
  <c r="O44" i="2"/>
  <c r="O18" i="2" s="1"/>
  <c r="N44" i="2"/>
  <c r="M44" i="2"/>
  <c r="M18" i="2" s="1"/>
  <c r="L44" i="2"/>
  <c r="L18" i="2" s="1"/>
  <c r="K44" i="2"/>
  <c r="K18" i="2" s="1"/>
  <c r="J44" i="2"/>
  <c r="J18" i="2" s="1"/>
  <c r="I44" i="2"/>
  <c r="H44" i="2"/>
  <c r="G44" i="2"/>
  <c r="AD43" i="2"/>
  <c r="AE43" i="2" s="1"/>
  <c r="C43" i="2"/>
  <c r="AF42" i="2"/>
  <c r="AD42" i="2"/>
  <c r="AE42" i="2" s="1"/>
  <c r="C42" i="2"/>
  <c r="B42" i="2"/>
  <c r="AF41" i="2"/>
  <c r="AE41" i="2"/>
  <c r="AD41" i="2"/>
  <c r="C41" i="2"/>
  <c r="AF40" i="2"/>
  <c r="AE40" i="2"/>
  <c r="AD40" i="2"/>
  <c r="C40" i="2"/>
  <c r="AD39" i="2"/>
  <c r="AF39" i="2" s="1"/>
  <c r="C39" i="2"/>
  <c r="AD38" i="2"/>
  <c r="AE38" i="2" s="1"/>
  <c r="C38" i="2"/>
  <c r="B38" i="2"/>
  <c r="AF37" i="2"/>
  <c r="AE37" i="2"/>
  <c r="AD37" i="2"/>
  <c r="C37" i="2"/>
  <c r="AF36" i="2"/>
  <c r="AE36" i="2"/>
  <c r="AD36" i="2"/>
  <c r="C36" i="2"/>
  <c r="AD35" i="2"/>
  <c r="AF35" i="2" s="1"/>
  <c r="C35" i="2"/>
  <c r="AD34" i="2"/>
  <c r="AF34" i="2" s="1"/>
  <c r="C34" i="2"/>
  <c r="B34" i="2"/>
  <c r="AF33" i="2"/>
  <c r="AE33" i="2"/>
  <c r="AD33" i="2"/>
  <c r="C33" i="2"/>
  <c r="AF32" i="2"/>
  <c r="AE32" i="2"/>
  <c r="AD32" i="2"/>
  <c r="C32" i="2"/>
  <c r="AD31" i="2"/>
  <c r="AF31" i="2" s="1"/>
  <c r="C31" i="2"/>
  <c r="AD30" i="2"/>
  <c r="AF30" i="2" s="1"/>
  <c r="C30" i="2"/>
  <c r="B30" i="2"/>
  <c r="AF29" i="2"/>
  <c r="AE29" i="2"/>
  <c r="AD29" i="2"/>
  <c r="C29" i="2"/>
  <c r="AF28" i="2"/>
  <c r="AE28" i="2"/>
  <c r="AD28" i="2"/>
  <c r="C28" i="2"/>
  <c r="AD27" i="2"/>
  <c r="AF27" i="2" s="1"/>
  <c r="C27" i="2"/>
  <c r="AD26" i="2"/>
  <c r="AF26" i="2" s="1"/>
  <c r="C26" i="2"/>
  <c r="B26" i="2"/>
  <c r="AF25" i="2"/>
  <c r="AE25" i="2"/>
  <c r="AD25" i="2"/>
  <c r="C25" i="2"/>
  <c r="AF24" i="2"/>
  <c r="AE24" i="2"/>
  <c r="AD24" i="2"/>
  <c r="C24" i="2"/>
  <c r="AD23" i="2"/>
  <c r="AF23" i="2" s="1"/>
  <c r="C23" i="2"/>
  <c r="AD22" i="2"/>
  <c r="AD44" i="2" s="1"/>
  <c r="C22" i="2"/>
  <c r="B37" i="2" s="1"/>
  <c r="B22" i="2"/>
  <c r="AF21" i="2"/>
  <c r="AE21" i="2"/>
  <c r="AD21" i="2"/>
  <c r="C21" i="2"/>
  <c r="B39" i="2" s="1"/>
  <c r="B21" i="2"/>
  <c r="AF20" i="2"/>
  <c r="AE20" i="2"/>
  <c r="AD20" i="2"/>
  <c r="C20" i="2"/>
  <c r="AD19" i="2"/>
  <c r="AF19" i="2" s="1"/>
  <c r="C19" i="2"/>
  <c r="B40" i="2" s="1"/>
  <c r="B19" i="2"/>
  <c r="AC18" i="2"/>
  <c r="AB18" i="2"/>
  <c r="AA18" i="2"/>
  <c r="Z18" i="2"/>
  <c r="Y18" i="2"/>
  <c r="X18" i="2"/>
  <c r="V18" i="2"/>
  <c r="U18" i="2"/>
  <c r="T18" i="2"/>
  <c r="S18" i="2"/>
  <c r="N18" i="2"/>
  <c r="I18" i="2"/>
  <c r="H18" i="2"/>
  <c r="G18" i="2"/>
  <c r="AD18" i="2" s="1"/>
  <c r="G16" i="2"/>
  <c r="H15" i="2" s="1"/>
  <c r="H16" i="2" s="1"/>
  <c r="I15" i="2" s="1"/>
  <c r="I16" i="2" s="1"/>
  <c r="J15" i="2" s="1"/>
  <c r="J16" i="2" s="1"/>
  <c r="K15" i="2" s="1"/>
  <c r="K16" i="2" s="1"/>
  <c r="L15" i="2" s="1"/>
  <c r="L16" i="2" s="1"/>
  <c r="M15" i="2" s="1"/>
  <c r="M16" i="2" s="1"/>
  <c r="N15" i="2" s="1"/>
  <c r="N16" i="2" s="1"/>
  <c r="O15" i="2" s="1"/>
  <c r="O16" i="2" s="1"/>
  <c r="P15" i="2" s="1"/>
  <c r="P16" i="2" s="1"/>
  <c r="Q15" i="2" s="1"/>
  <c r="Q16" i="2" s="1"/>
  <c r="R15" i="2" s="1"/>
  <c r="R16" i="2" s="1"/>
  <c r="S15" i="2" s="1"/>
  <c r="S16" i="2" s="1"/>
  <c r="T15" i="2" s="1"/>
  <c r="T16" i="2" s="1"/>
  <c r="U15" i="2" s="1"/>
  <c r="U16" i="2" s="1"/>
  <c r="V15" i="2" s="1"/>
  <c r="V16" i="2" s="1"/>
  <c r="W15" i="2" s="1"/>
  <c r="W16" i="2" s="1"/>
  <c r="X15" i="2" s="1"/>
  <c r="X16" i="2" s="1"/>
  <c r="Y15" i="2" s="1"/>
  <c r="Y16" i="2" s="1"/>
  <c r="Z15" i="2" s="1"/>
  <c r="Z16" i="2" s="1"/>
  <c r="AA15" i="2" s="1"/>
  <c r="AA16" i="2" s="1"/>
  <c r="AB15" i="2" s="1"/>
  <c r="AB16" i="2" s="1"/>
  <c r="AC15" i="2" s="1"/>
  <c r="AC16" i="2" s="1"/>
  <c r="AF44" i="2" l="1"/>
  <c r="B25" i="2"/>
  <c r="B29" i="2"/>
  <c r="B33" i="2"/>
  <c r="B41" i="2"/>
  <c r="AF43" i="2"/>
  <c r="AE22" i="2"/>
  <c r="AE26" i="2"/>
  <c r="AE30" i="2"/>
  <c r="AE34" i="2"/>
  <c r="AF22" i="2"/>
  <c r="AF38" i="2"/>
  <c r="B23" i="2"/>
  <c r="B27" i="2"/>
  <c r="B31" i="2"/>
  <c r="AE19" i="2"/>
  <c r="AE23" i="2"/>
  <c r="AE27" i="2"/>
  <c r="AE31" i="2"/>
  <c r="AE35" i="2"/>
  <c r="AE39" i="2"/>
  <c r="B20" i="2"/>
  <c r="B24" i="2"/>
  <c r="B28" i="2"/>
  <c r="B32" i="2"/>
  <c r="B36" i="2"/>
  <c r="B43" i="2"/>
  <c r="B35" i="2"/>
  <c r="AE44" i="2" l="1"/>
</calcChain>
</file>

<file path=xl/sharedStrings.xml><?xml version="1.0" encoding="utf-8"?>
<sst xmlns="http://schemas.openxmlformats.org/spreadsheetml/2006/main" count="62" uniqueCount="36">
  <si>
    <t>PACKING LIST</t>
  </si>
  <si>
    <t>AW TROUSERS</t>
  </si>
  <si>
    <t>HOATHO TEXTILE-GARMENT JOINT STOCK CORPORATION</t>
  </si>
  <si>
    <r>
      <rPr>
        <b/>
        <sz val="8"/>
        <rFont val="Arial"/>
        <family val="2"/>
      </rPr>
      <t>Invoice No:</t>
    </r>
    <r>
      <rPr>
        <sz val="8"/>
        <rFont val="Arial"/>
        <family val="2"/>
      </rPr>
      <t xml:space="preserve"> </t>
    </r>
  </si>
  <si>
    <t xml:space="preserve">ETA date: </t>
  </si>
  <si>
    <t>36 ONG ICH DUONG ST, DANANG CITY, VIETNAM</t>
  </si>
  <si>
    <t xml:space="preserve">ETD date: </t>
  </si>
  <si>
    <t>TEL: 84-236-3846290</t>
  </si>
  <si>
    <r>
      <rPr>
        <b/>
        <sz val="8"/>
        <rFont val="Arial"/>
        <family val="2"/>
      </rPr>
      <t>SHIPPED FROM:</t>
    </r>
    <r>
      <rPr>
        <sz val="8"/>
        <rFont val="Arial"/>
        <family val="2"/>
      </rPr>
      <t xml:space="preserve"> Danang, Viet Nam</t>
    </r>
  </si>
  <si>
    <r>
      <rPr>
        <b/>
        <sz val="8"/>
        <rFont val="Arial"/>
        <family val="2"/>
      </rPr>
      <t>SHIPPED TO:</t>
    </r>
    <r>
      <rPr>
        <sz val="8"/>
        <rFont val="Arial"/>
        <family val="2"/>
      </rPr>
      <t xml:space="preserve">  Poland</t>
    </r>
  </si>
  <si>
    <t>FAX: 84-236-3846216</t>
  </si>
  <si>
    <t xml:space="preserve">PER: </t>
  </si>
  <si>
    <t xml:space="preserve">TODAY:  </t>
  </si>
  <si>
    <t>CONT/SEAL</t>
  </si>
  <si>
    <t>Delivery address:</t>
  </si>
  <si>
    <t>Notify:</t>
  </si>
  <si>
    <t>Hultafors Group</t>
  </si>
  <si>
    <t>Schenker Sp. z o.o.
Hutnicza 36
81-061 Gdynia, POLAND
Att: Justyna Pecherzewska,
E:Justyna.Pecherzewska@dbschenker.com</t>
  </si>
  <si>
    <t>Additional comments:</t>
  </si>
  <si>
    <t>Prosta 1, Lozienica</t>
  </si>
  <si>
    <t>72-100 Goleniow, Poland</t>
  </si>
  <si>
    <t xml:space="preserve">Buyer PO#:  </t>
  </si>
  <si>
    <t>Clmn</t>
  </si>
  <si>
    <t>Buyer article no:</t>
  </si>
  <si>
    <t>Style</t>
  </si>
  <si>
    <t>Color</t>
  </si>
  <si>
    <t>From ( Ctn )</t>
  </si>
  <si>
    <t>Tot QTY</t>
  </si>
  <si>
    <t>N.W. tot</t>
  </si>
  <si>
    <t>G.W. tot</t>
  </si>
  <si>
    <t>To ( Ctn )</t>
  </si>
  <si>
    <t xml:space="preserve"> (KG)</t>
  </si>
  <si>
    <t>CNT size 56*38*29cm</t>
  </si>
  <si>
    <t xml:space="preserve">   Carton.No</t>
  </si>
  <si>
    <t>0404</t>
  </si>
  <si>
    <t>TOT QTY per 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</si>
</sst>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/mmm/yy;@"/>
    <numFmt numFmtId="166" formatCode="_(* #,##0.00_);_(* \(#,##0.00\);_(* &quot;-&quot;??_);_(@_)"/>
  </numFmts>
  <fonts count="26">
    <font>
      <sz val="11"/>
      <color theme="1"/>
      <name val="Arial"/>
      <family val="2"/>
      <charset val="163"/>
      <scheme val="minor"/>
    </font>
    <font>
      <sz val="12"/>
      <name val="宋体"/>
      <charset val="134"/>
    </font>
    <font>
      <b/>
      <sz val="18"/>
      <color rgb="FF000000"/>
      <name val="Calibri"/>
      <family val="2"/>
    </font>
    <font>
      <sz val="8"/>
      <name val="Arial"/>
      <family val="2"/>
    </font>
    <font>
      <sz val="11"/>
      <color theme="1"/>
      <name val="Arial"/>
      <family val="2"/>
      <scheme val="minor"/>
    </font>
    <font>
      <sz val="8"/>
      <color theme="1"/>
      <name val="Arial"/>
      <family val="2"/>
    </font>
    <font>
      <sz val="9"/>
      <color rgb="FF000000"/>
      <name val="Calibri"/>
      <family val="2"/>
    </font>
    <font>
      <sz val="10"/>
      <color theme="1"/>
      <name val="Times New Roman"/>
      <family val="1"/>
    </font>
    <font>
      <sz val="12"/>
      <color theme="1"/>
      <name val="宋体"/>
      <charset val="134"/>
    </font>
    <font>
      <b/>
      <sz val="8"/>
      <name val="Arial"/>
      <family val="2"/>
    </font>
    <font>
      <sz val="12"/>
      <name val="Arial"/>
      <family val="2"/>
      <scheme val="minor"/>
    </font>
    <font>
      <sz val="12"/>
      <color rgb="FF000000"/>
      <name val="Calibri"/>
      <family val="2"/>
    </font>
    <font>
      <sz val="9"/>
      <color indexed="12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1"/>
      <color rgb="FFFF0000"/>
      <name val="Calibri"/>
      <family val="2"/>
    </font>
    <font>
      <sz val="8"/>
      <color rgb="FF000000"/>
      <name val="Arial"/>
      <family val="2"/>
    </font>
    <font>
      <b/>
      <sz val="12"/>
      <color indexed="56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8"/>
      <color indexed="56"/>
      <name val="Times New Roman"/>
      <family val="1"/>
    </font>
    <font>
      <b/>
      <sz val="8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>
      <alignment vertical="center"/>
    </xf>
    <xf numFmtId="0" fontId="4" fillId="0" borderId="0"/>
    <xf numFmtId="166" fontId="4" fillId="0" borderId="0" applyFont="0" applyFill="0" applyBorder="0" applyAlignment="0" applyProtection="0"/>
    <xf numFmtId="0" fontId="1" fillId="0" borderId="0"/>
    <xf numFmtId="0" fontId="1" fillId="0" borderId="0"/>
  </cellStyleXfs>
  <cellXfs count="103">
    <xf numFmtId="0" fontId="0" fillId="0" borderId="0" xfId="0"/>
    <xf numFmtId="0" fontId="2" fillId="0" borderId="0" xfId="1" applyFont="1" applyAlignment="1">
      <alignment horizontal="left" vertical="center" readingOrder="1"/>
    </xf>
    <xf numFmtId="0" fontId="1" fillId="0" borderId="0" xfId="2">
      <alignment vertical="center"/>
    </xf>
    <xf numFmtId="0" fontId="3" fillId="0" borderId="0" xfId="2" applyFont="1">
      <alignment vertical="center"/>
    </xf>
    <xf numFmtId="164" fontId="3" fillId="0" borderId="0" xfId="2" applyNumberFormat="1" applyFont="1">
      <alignment vertical="center"/>
    </xf>
    <xf numFmtId="0" fontId="5" fillId="0" borderId="0" xfId="3" applyFont="1"/>
    <xf numFmtId="0" fontId="4" fillId="0" borderId="0" xfId="3"/>
    <xf numFmtId="0" fontId="6" fillId="0" borderId="0" xfId="1" applyFont="1" applyAlignment="1">
      <alignment horizontal="left" vertical="center" readingOrder="1"/>
    </xf>
    <xf numFmtId="0" fontId="7" fillId="0" borderId="1" xfId="3" applyFont="1" applyBorder="1"/>
    <xf numFmtId="0" fontId="8" fillId="0" borderId="2" xfId="2" applyFont="1" applyBorder="1">
      <alignment vertical="center"/>
    </xf>
    <xf numFmtId="0" fontId="1" fillId="0" borderId="2" xfId="2" applyBorder="1">
      <alignment vertical="center"/>
    </xf>
    <xf numFmtId="0" fontId="4" fillId="0" borderId="3" xfId="3" applyBorder="1"/>
    <xf numFmtId="0" fontId="3" fillId="0" borderId="4" xfId="3" applyFont="1" applyBorder="1"/>
    <xf numFmtId="164" fontId="9" fillId="0" borderId="4" xfId="3" applyNumberFormat="1" applyFont="1" applyBorder="1" applyAlignment="1">
      <alignment horizontal="center"/>
    </xf>
    <xf numFmtId="165" fontId="9" fillId="0" borderId="4" xfId="3" applyNumberFormat="1" applyFont="1" applyBorder="1" applyAlignment="1">
      <alignment horizontal="center"/>
    </xf>
    <xf numFmtId="165" fontId="9" fillId="0" borderId="0" xfId="3" applyNumberFormat="1" applyFont="1" applyAlignment="1">
      <alignment horizontal="center"/>
    </xf>
    <xf numFmtId="0" fontId="7" fillId="0" borderId="5" xfId="3" applyFont="1" applyBorder="1" applyAlignment="1">
      <alignment vertical="center"/>
    </xf>
    <xf numFmtId="0" fontId="8" fillId="0" borderId="0" xfId="2" applyFont="1">
      <alignment vertical="center"/>
    </xf>
    <xf numFmtId="0" fontId="4" fillId="0" borderId="6" xfId="3" applyBorder="1"/>
    <xf numFmtId="0" fontId="9" fillId="0" borderId="7" xfId="3" applyFont="1" applyBorder="1"/>
    <xf numFmtId="0" fontId="4" fillId="0" borderId="4" xfId="3" applyBorder="1"/>
    <xf numFmtId="0" fontId="4" fillId="0" borderId="4" xfId="3" applyBorder="1" applyAlignment="1">
      <alignment horizontal="center"/>
    </xf>
    <xf numFmtId="0" fontId="4" fillId="0" borderId="0" xfId="3" applyAlignment="1">
      <alignment horizontal="center"/>
    </xf>
    <xf numFmtId="0" fontId="7" fillId="0" borderId="5" xfId="3" applyFont="1" applyBorder="1"/>
    <xf numFmtId="166" fontId="3" fillId="0" borderId="4" xfId="4" applyFont="1" applyBorder="1" applyAlignment="1">
      <alignment readingOrder="1"/>
    </xf>
    <xf numFmtId="164" fontId="3" fillId="0" borderId="4" xfId="3" applyNumberFormat="1" applyFont="1" applyBorder="1" applyAlignment="1">
      <alignment horizontal="left"/>
    </xf>
    <xf numFmtId="164" fontId="3" fillId="0" borderId="0" xfId="3" applyNumberFormat="1" applyFont="1" applyAlignment="1">
      <alignment horizontal="left"/>
    </xf>
    <xf numFmtId="0" fontId="7" fillId="0" borderId="8" xfId="3" applyFont="1" applyBorder="1"/>
    <xf numFmtId="0" fontId="8" fillId="0" borderId="9" xfId="2" applyFont="1" applyBorder="1">
      <alignment vertical="center"/>
    </xf>
    <xf numFmtId="0" fontId="10" fillId="0" borderId="9" xfId="2" applyFont="1" applyBorder="1">
      <alignment vertical="center"/>
    </xf>
    <xf numFmtId="0" fontId="1" fillId="0" borderId="9" xfId="2" applyBorder="1">
      <alignment vertical="center"/>
    </xf>
    <xf numFmtId="0" fontId="4" fillId="0" borderId="10" xfId="3" applyBorder="1"/>
    <xf numFmtId="0" fontId="9" fillId="0" borderId="4" xfId="3" applyFont="1" applyBorder="1"/>
    <xf numFmtId="166" fontId="9" fillId="0" borderId="4" xfId="4" applyFont="1" applyBorder="1" applyAlignment="1">
      <alignment horizontal="center" readingOrder="1"/>
    </xf>
    <xf numFmtId="0" fontId="11" fillId="0" borderId="0" xfId="1" applyFont="1" applyAlignment="1">
      <alignment horizontal="center" readingOrder="1"/>
    </xf>
    <xf numFmtId="0" fontId="1" fillId="0" borderId="0" xfId="2" applyAlignment="1">
      <alignment horizontal="center" readingOrder="1"/>
    </xf>
    <xf numFmtId="0" fontId="4" fillId="0" borderId="0" xfId="3" applyAlignment="1">
      <alignment horizontal="center" readingOrder="1"/>
    </xf>
    <xf numFmtId="0" fontId="5" fillId="0" borderId="0" xfId="3" applyFont="1" applyAlignment="1">
      <alignment horizontal="center" readingOrder="1"/>
    </xf>
    <xf numFmtId="0" fontId="4" fillId="0" borderId="4" xfId="3" applyBorder="1" applyAlignment="1">
      <alignment horizontal="center" readingOrder="1"/>
    </xf>
    <xf numFmtId="0" fontId="9" fillId="2" borderId="4" xfId="3" quotePrefix="1" applyFont="1" applyFill="1" applyBorder="1" applyAlignment="1">
      <alignment horizontal="center"/>
    </xf>
    <xf numFmtId="0" fontId="9" fillId="2" borderId="0" xfId="3" quotePrefix="1" applyFont="1" applyFill="1" applyAlignment="1">
      <alignment horizontal="center"/>
    </xf>
    <xf numFmtId="0" fontId="11" fillId="0" borderId="0" xfId="1" applyFont="1" applyAlignment="1">
      <alignment horizontal="left" vertical="center" readingOrder="1"/>
    </xf>
    <xf numFmtId="0" fontId="12" fillId="0" borderId="0" xfId="3" applyFont="1" applyAlignment="1">
      <alignment horizontal="center"/>
    </xf>
    <xf numFmtId="0" fontId="12" fillId="0" borderId="0" xfId="3" applyFont="1"/>
    <xf numFmtId="0" fontId="13" fillId="2" borderId="1" xfId="5" applyFont="1" applyFill="1" applyBorder="1" applyAlignment="1">
      <alignment horizontal="left" vertical="center" readingOrder="1"/>
    </xf>
    <xf numFmtId="0" fontId="1" fillId="2" borderId="2" xfId="2" applyFill="1" applyBorder="1">
      <alignment vertical="center"/>
    </xf>
    <xf numFmtId="0" fontId="13" fillId="2" borderId="2" xfId="2" applyFont="1" applyFill="1" applyBorder="1">
      <alignment vertical="center"/>
    </xf>
    <xf numFmtId="0" fontId="14" fillId="2" borderId="2" xfId="2" applyFont="1" applyFill="1" applyBorder="1" applyAlignment="1">
      <alignment horizontal="center" vertical="center" readingOrder="1"/>
    </xf>
    <xf numFmtId="0" fontId="1" fillId="2" borderId="2" xfId="2" applyFill="1" applyBorder="1" applyAlignment="1">
      <alignment horizontal="center" vertical="center" readingOrder="1"/>
    </xf>
    <xf numFmtId="0" fontId="5" fillId="0" borderId="3" xfId="3" applyFont="1" applyBorder="1"/>
    <xf numFmtId="0" fontId="5" fillId="0" borderId="1" xfId="3" applyFont="1" applyBorder="1"/>
    <xf numFmtId="0" fontId="5" fillId="0" borderId="2" xfId="3" applyFont="1" applyBorder="1"/>
    <xf numFmtId="164" fontId="5" fillId="0" borderId="2" xfId="3" applyNumberFormat="1" applyFont="1" applyBorder="1"/>
    <xf numFmtId="0" fontId="4" fillId="0" borderId="2" xfId="3" applyBorder="1"/>
    <xf numFmtId="0" fontId="14" fillId="2" borderId="5" xfId="2" applyFont="1" applyFill="1" applyBorder="1" applyAlignment="1">
      <alignment horizontal="left" vertical="center" wrapText="1"/>
    </xf>
    <xf numFmtId="0" fontId="14" fillId="2" borderId="0" xfId="2" applyFont="1" applyFill="1" applyAlignment="1">
      <alignment horizontal="left" vertical="center" wrapText="1"/>
    </xf>
    <xf numFmtId="0" fontId="14" fillId="2" borderId="6" xfId="2" applyFont="1" applyFill="1" applyBorder="1" applyAlignment="1">
      <alignment horizontal="left" vertical="center" wrapText="1"/>
    </xf>
    <xf numFmtId="0" fontId="15" fillId="0" borderId="5" xfId="3" applyFont="1" applyBorder="1"/>
    <xf numFmtId="0" fontId="15" fillId="0" borderId="0" xfId="3" applyFont="1"/>
    <xf numFmtId="164" fontId="5" fillId="0" borderId="0" xfId="3" applyNumberFormat="1" applyFont="1"/>
    <xf numFmtId="0" fontId="14" fillId="2" borderId="5" xfId="5" applyFont="1" applyFill="1" applyBorder="1" applyAlignment="1">
      <alignment horizontal="left" vertical="center" readingOrder="1"/>
    </xf>
    <xf numFmtId="0" fontId="14" fillId="2" borderId="0" xfId="2" applyFont="1" applyFill="1" applyAlignment="1">
      <alignment horizontal="center" vertical="center" readingOrder="1"/>
    </xf>
    <xf numFmtId="0" fontId="1" fillId="2" borderId="0" xfId="2" applyFill="1">
      <alignment vertical="center"/>
    </xf>
    <xf numFmtId="0" fontId="5" fillId="0" borderId="5" xfId="3" applyFont="1" applyBorder="1"/>
    <xf numFmtId="0" fontId="16" fillId="0" borderId="0" xfId="3" applyFont="1" applyAlignment="1">
      <alignment horizontal="center"/>
    </xf>
    <xf numFmtId="0" fontId="17" fillId="2" borderId="5" xfId="6" applyFont="1" applyFill="1" applyBorder="1" applyAlignment="1">
      <alignment horizontal="left" vertical="center" readingOrder="1"/>
    </xf>
    <xf numFmtId="0" fontId="14" fillId="2" borderId="8" xfId="6" applyFont="1" applyFill="1" applyBorder="1" applyAlignment="1">
      <alignment horizontal="left" vertical="center" readingOrder="1"/>
    </xf>
    <xf numFmtId="0" fontId="1" fillId="2" borderId="9" xfId="2" applyFill="1" applyBorder="1">
      <alignment vertical="center"/>
    </xf>
    <xf numFmtId="0" fontId="14" fillId="2" borderId="9" xfId="2" applyFont="1" applyFill="1" applyBorder="1" applyAlignment="1">
      <alignment horizontal="left" vertical="center" wrapText="1"/>
    </xf>
    <xf numFmtId="0" fontId="14" fillId="2" borderId="10" xfId="2" applyFont="1" applyFill="1" applyBorder="1" applyAlignment="1">
      <alignment horizontal="left" vertical="center" wrapText="1"/>
    </xf>
    <xf numFmtId="0" fontId="18" fillId="0" borderId="8" xfId="1" applyFont="1" applyBorder="1" applyAlignment="1">
      <alignment vertical="center" readingOrder="1"/>
    </xf>
    <xf numFmtId="0" fontId="18" fillId="0" borderId="9" xfId="1" applyFont="1" applyBorder="1" applyAlignment="1">
      <alignment vertical="center" readingOrder="1"/>
    </xf>
    <xf numFmtId="0" fontId="4" fillId="0" borderId="9" xfId="3" applyBorder="1"/>
    <xf numFmtId="1" fontId="19" fillId="0" borderId="4" xfId="2" applyNumberFormat="1" applyFont="1" applyBorder="1" applyAlignment="1">
      <alignment horizontal="center" vertical="center"/>
    </xf>
    <xf numFmtId="1" fontId="20" fillId="0" borderId="4" xfId="2" applyNumberFormat="1" applyFont="1" applyBorder="1" applyAlignment="1">
      <alignment horizontal="center" vertical="center"/>
    </xf>
    <xf numFmtId="0" fontId="20" fillId="0" borderId="4" xfId="2" applyFont="1" applyBorder="1">
      <alignment vertical="center"/>
    </xf>
    <xf numFmtId="1" fontId="20" fillId="0" borderId="11" xfId="2" applyNumberFormat="1" applyFont="1" applyBorder="1" applyAlignment="1">
      <alignment horizontal="center" vertical="center"/>
    </xf>
    <xf numFmtId="1" fontId="21" fillId="0" borderId="4" xfId="2" applyNumberFormat="1" applyFont="1" applyBorder="1" applyAlignment="1">
      <alignment vertical="center" wrapText="1"/>
    </xf>
    <xf numFmtId="1" fontId="20" fillId="0" borderId="4" xfId="2" applyNumberFormat="1" applyFont="1" applyBorder="1">
      <alignment vertical="center"/>
    </xf>
    <xf numFmtId="1" fontId="20" fillId="0" borderId="12" xfId="2" applyNumberFormat="1" applyFont="1" applyBorder="1" applyAlignment="1">
      <alignment horizontal="center" vertical="center"/>
    </xf>
    <xf numFmtId="164" fontId="20" fillId="0" borderId="4" xfId="2" applyNumberFormat="1" applyFont="1" applyBorder="1">
      <alignment vertical="center"/>
    </xf>
    <xf numFmtId="1" fontId="20" fillId="0" borderId="4" xfId="2" applyNumberFormat="1" applyFont="1" applyBorder="1" applyAlignment="1">
      <alignment horizontal="center" vertical="center"/>
    </xf>
    <xf numFmtId="1" fontId="20" fillId="0" borderId="7" xfId="2" applyNumberFormat="1" applyFont="1" applyBorder="1" applyAlignment="1">
      <alignment horizontal="center" vertical="center"/>
    </xf>
    <xf numFmtId="1" fontId="22" fillId="0" borderId="4" xfId="2" applyNumberFormat="1" applyFont="1" applyBorder="1" applyAlignment="1">
      <alignment horizontal="center" vertical="center"/>
    </xf>
    <xf numFmtId="1" fontId="23" fillId="0" borderId="4" xfId="2" applyNumberFormat="1" applyFont="1" applyBorder="1" applyAlignment="1">
      <alignment horizontal="center" vertical="center"/>
    </xf>
    <xf numFmtId="0" fontId="23" fillId="0" borderId="7" xfId="2" applyFont="1" applyBorder="1" applyAlignment="1">
      <alignment horizontal="center" vertical="center" wrapText="1"/>
    </xf>
    <xf numFmtId="1" fontId="23" fillId="3" borderId="13" xfId="2" applyNumberFormat="1" applyFont="1" applyFill="1" applyBorder="1" applyAlignment="1">
      <alignment horizontal="center" vertical="center" wrapText="1"/>
    </xf>
    <xf numFmtId="1" fontId="23" fillId="3" borderId="14" xfId="2" applyNumberFormat="1" applyFont="1" applyFill="1" applyBorder="1" applyAlignment="1">
      <alignment horizontal="center" vertical="center" wrapText="1"/>
    </xf>
    <xf numFmtId="0" fontId="24" fillId="0" borderId="0" xfId="3" applyFont="1"/>
    <xf numFmtId="164" fontId="19" fillId="0" borderId="4" xfId="2" applyNumberFormat="1" applyFont="1" applyBorder="1" applyAlignment="1">
      <alignment horizontal="center" vertical="center"/>
    </xf>
    <xf numFmtId="164" fontId="20" fillId="0" borderId="4" xfId="2" applyNumberFormat="1" applyFont="1" applyBorder="1" applyAlignment="1">
      <alignment horizontal="center" vertical="center"/>
    </xf>
    <xf numFmtId="164" fontId="20" fillId="0" borderId="13" xfId="2" applyNumberFormat="1" applyFont="1" applyBorder="1" applyAlignment="1">
      <alignment horizontal="center" vertical="center"/>
    </xf>
    <xf numFmtId="164" fontId="20" fillId="0" borderId="14" xfId="2" applyNumberFormat="1" applyFont="1" applyBorder="1" applyAlignment="1">
      <alignment horizontal="center" vertical="center"/>
    </xf>
    <xf numFmtId="164" fontId="20" fillId="0" borderId="12" xfId="2" applyNumberFormat="1" applyFont="1" applyBorder="1" applyAlignment="1">
      <alignment horizontal="center" vertical="center"/>
    </xf>
    <xf numFmtId="164" fontId="25" fillId="0" borderId="4" xfId="2" applyNumberFormat="1" applyFont="1" applyBorder="1" applyAlignment="1">
      <alignment horizontal="center" vertical="center"/>
    </xf>
    <xf numFmtId="164" fontId="20" fillId="0" borderId="12" xfId="2" applyNumberFormat="1" applyFont="1" applyBorder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1" fontId="20" fillId="0" borderId="4" xfId="2" quotePrefix="1" applyNumberFormat="1" applyFont="1" applyBorder="1" applyAlignment="1">
      <alignment horizontal="center" vertical="center"/>
    </xf>
    <xf numFmtId="1" fontId="21" fillId="0" borderId="4" xfId="2" applyNumberFormat="1" applyFont="1" applyBorder="1" applyAlignment="1">
      <alignment horizontal="center" vertical="center"/>
    </xf>
    <xf numFmtId="1" fontId="25" fillId="0" borderId="4" xfId="2" applyNumberFormat="1" applyFont="1" applyBorder="1" applyAlignment="1">
      <alignment horizontal="center" vertical="center"/>
    </xf>
    <xf numFmtId="1" fontId="20" fillId="0" borderId="12" xfId="2" applyNumberFormat="1" applyFont="1" applyBorder="1" applyAlignment="1">
      <alignment horizontal="center" vertical="center"/>
    </xf>
    <xf numFmtId="0" fontId="25" fillId="0" borderId="4" xfId="3" quotePrefix="1" applyFont="1" applyBorder="1" applyAlignment="1">
      <alignment horizontal="center"/>
    </xf>
    <xf numFmtId="0" fontId="21" fillId="0" borderId="4" xfId="3" applyFont="1" applyBorder="1" applyAlignment="1">
      <alignment horizontal="center"/>
    </xf>
  </cellXfs>
  <cellStyles count="7">
    <cellStyle name="Comma 2" xfId="4" xr:uid="{1DCC5FAE-DFC7-4190-88B6-183EAE1FE699}"/>
    <cellStyle name="Normal" xfId="0" builtinId="0"/>
    <cellStyle name="Normal 2" xfId="1" xr:uid="{7A8DC06E-BACB-49DD-AEE3-06A5A3487667}"/>
    <cellStyle name="Normal 3" xfId="3" xr:uid="{9D6D64CC-BF61-45D2-9E9A-04B7ED38F660}"/>
    <cellStyle name="Normal 3 2" xfId="5" xr:uid="{4B2633BF-83A3-467B-AC90-9C4005061A93}"/>
    <cellStyle name="Normal 4" xfId="6" xr:uid="{4F496D2C-1D19-4AF4-B510-D505C54FBED1}"/>
    <cellStyle name="Normal 5" xfId="2" xr:uid="{D3E2045C-D3C9-4E3A-86BA-B5976E6510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E299-0005-4632-8600-759F94A1994E}">
  <sheetPr>
    <pageSetUpPr fitToPage="1"/>
  </sheetPr>
  <dimension ref="A1:AF44"/>
  <sheetViews>
    <sheetView tabSelected="1" topLeftCell="A7" workbookViewId="0">
      <selection activeCell="B26" sqref="B26"/>
    </sheetView>
  </sheetViews>
  <sheetFormatPr defaultRowHeight="14.25"/>
  <cols>
    <col min="1" max="1" width="9.375" style="6" customWidth="1"/>
    <col min="2" max="2" width="6.25" style="6" customWidth="1"/>
    <col min="3" max="3" width="13.375" style="6" customWidth="1"/>
    <col min="4" max="16" width="9" style="6"/>
    <col min="17" max="29" width="9" style="6" customWidth="1"/>
    <col min="30" max="16384" width="9" style="6"/>
  </cols>
  <sheetData>
    <row r="1" spans="1:32" ht="23.2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4"/>
      <c r="N1" s="4"/>
      <c r="O1" s="5"/>
    </row>
    <row r="2" spans="1:32">
      <c r="A2" s="7" t="s">
        <v>1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5"/>
    </row>
    <row r="3" spans="1:32">
      <c r="A3" s="8" t="s">
        <v>2</v>
      </c>
      <c r="B3" s="9"/>
      <c r="C3" s="9"/>
      <c r="D3" s="10"/>
      <c r="E3" s="10"/>
      <c r="F3" s="10"/>
      <c r="G3" s="10"/>
      <c r="H3" s="11"/>
      <c r="I3" s="5"/>
      <c r="J3" s="12" t="s">
        <v>3</v>
      </c>
      <c r="K3" s="12"/>
      <c r="L3" s="12"/>
      <c r="M3" s="12"/>
      <c r="N3" s="12"/>
      <c r="O3" s="12"/>
      <c r="P3" s="13" t="s">
        <v>4</v>
      </c>
      <c r="Q3" s="13"/>
      <c r="R3" s="14"/>
      <c r="S3" s="14"/>
      <c r="T3" s="14"/>
      <c r="U3" s="15"/>
      <c r="V3" s="15"/>
      <c r="W3" s="15"/>
      <c r="X3" s="15"/>
      <c r="Y3" s="15"/>
      <c r="Z3" s="15"/>
      <c r="AA3" s="15"/>
      <c r="AB3" s="15"/>
    </row>
    <row r="4" spans="1:32">
      <c r="A4" s="16" t="s">
        <v>5</v>
      </c>
      <c r="B4" s="17"/>
      <c r="C4" s="17"/>
      <c r="D4" s="2"/>
      <c r="E4" s="2"/>
      <c r="F4" s="2"/>
      <c r="G4" s="2"/>
      <c r="H4" s="18"/>
      <c r="I4" s="5"/>
      <c r="J4" s="19" t="s">
        <v>6</v>
      </c>
      <c r="K4" s="20"/>
      <c r="L4" s="14"/>
      <c r="M4" s="14"/>
      <c r="N4" s="14"/>
      <c r="O4" s="14"/>
      <c r="P4" s="21"/>
      <c r="Q4" s="21"/>
      <c r="R4" s="21"/>
      <c r="S4" s="21"/>
      <c r="T4" s="21"/>
      <c r="U4" s="22"/>
      <c r="V4" s="22"/>
      <c r="W4" s="22"/>
      <c r="X4" s="22"/>
      <c r="Y4" s="22"/>
      <c r="Z4" s="22"/>
      <c r="AA4" s="22"/>
      <c r="AB4" s="22"/>
    </row>
    <row r="5" spans="1:32">
      <c r="A5" s="23" t="s">
        <v>7</v>
      </c>
      <c r="B5" s="17"/>
      <c r="C5" s="17"/>
      <c r="D5" s="2"/>
      <c r="E5" s="2"/>
      <c r="F5" s="2"/>
      <c r="G5" s="2"/>
      <c r="H5" s="18"/>
      <c r="I5" s="5"/>
      <c r="J5" s="12" t="s">
        <v>8</v>
      </c>
      <c r="K5" s="12"/>
      <c r="L5" s="24"/>
      <c r="M5" s="20"/>
      <c r="N5" s="20"/>
      <c r="O5" s="20"/>
      <c r="P5" s="25" t="s">
        <v>9</v>
      </c>
      <c r="Q5" s="25"/>
      <c r="R5" s="25"/>
      <c r="S5" s="25"/>
      <c r="T5" s="25"/>
      <c r="U5" s="26"/>
      <c r="V5" s="26"/>
      <c r="W5" s="26"/>
      <c r="X5" s="26"/>
      <c r="Y5" s="26"/>
      <c r="Z5" s="26"/>
      <c r="AA5" s="26"/>
      <c r="AB5" s="26"/>
    </row>
    <row r="6" spans="1:32" ht="15">
      <c r="A6" s="27" t="s">
        <v>10</v>
      </c>
      <c r="B6" s="28"/>
      <c r="C6" s="28"/>
      <c r="D6" s="29"/>
      <c r="E6" s="30"/>
      <c r="F6" s="30"/>
      <c r="G6" s="30"/>
      <c r="H6" s="31"/>
      <c r="I6" s="5"/>
      <c r="J6" s="32" t="s">
        <v>11</v>
      </c>
      <c r="K6" s="21"/>
      <c r="L6" s="21"/>
      <c r="M6" s="21"/>
      <c r="N6" s="21"/>
      <c r="O6" s="21"/>
      <c r="P6" s="33" t="s">
        <v>12</v>
      </c>
      <c r="Q6" s="33"/>
      <c r="R6" s="14"/>
      <c r="S6" s="14"/>
      <c r="T6" s="14"/>
      <c r="U6" s="15"/>
      <c r="V6" s="15"/>
      <c r="W6" s="15"/>
      <c r="X6" s="15"/>
      <c r="Y6" s="15"/>
      <c r="Z6" s="15"/>
      <c r="AA6" s="15"/>
      <c r="AB6" s="15"/>
    </row>
    <row r="7" spans="1:32" ht="15.75">
      <c r="A7" s="34"/>
      <c r="B7" s="35"/>
      <c r="C7" s="35"/>
      <c r="D7" s="35"/>
      <c r="E7" s="35"/>
      <c r="F7" s="35"/>
      <c r="G7" s="35"/>
      <c r="H7" s="36"/>
      <c r="I7" s="37"/>
      <c r="J7" s="32" t="s">
        <v>13</v>
      </c>
      <c r="K7" s="38"/>
      <c r="L7" s="39"/>
      <c r="M7" s="39"/>
      <c r="N7" s="39"/>
      <c r="O7" s="39"/>
      <c r="P7" s="39"/>
      <c r="Q7" s="39"/>
      <c r="R7" s="39"/>
      <c r="S7" s="39"/>
      <c r="T7" s="39"/>
      <c r="U7" s="40"/>
      <c r="V7" s="40"/>
      <c r="W7" s="40"/>
      <c r="X7" s="40"/>
      <c r="Y7" s="40"/>
      <c r="Z7" s="40"/>
      <c r="AA7" s="40"/>
      <c r="AB7" s="40"/>
      <c r="AC7" s="36"/>
      <c r="AD7" s="36"/>
      <c r="AE7" s="36"/>
      <c r="AF7" s="36"/>
    </row>
    <row r="8" spans="1:32" ht="15.75">
      <c r="A8" s="41"/>
      <c r="B8" s="2"/>
      <c r="C8" s="2"/>
      <c r="D8" s="2"/>
      <c r="E8" s="2"/>
      <c r="F8" s="2"/>
      <c r="G8" s="2"/>
      <c r="I8" s="5"/>
      <c r="J8" s="42"/>
      <c r="K8" s="42"/>
      <c r="L8" s="42"/>
      <c r="M8" s="42"/>
      <c r="N8" s="43"/>
      <c r="O8" s="43"/>
    </row>
    <row r="9" spans="1:32" ht="15">
      <c r="A9" s="44" t="s">
        <v>14</v>
      </c>
      <c r="B9" s="45"/>
      <c r="C9" s="45"/>
      <c r="D9" s="46" t="s">
        <v>15</v>
      </c>
      <c r="E9" s="46"/>
      <c r="F9" s="47"/>
      <c r="G9" s="48"/>
      <c r="H9" s="48"/>
      <c r="I9" s="49"/>
      <c r="J9" s="50"/>
      <c r="K9" s="51"/>
      <c r="L9" s="51"/>
      <c r="M9" s="52"/>
      <c r="N9" s="52"/>
      <c r="O9" s="51"/>
      <c r="P9" s="53"/>
      <c r="Q9" s="53"/>
      <c r="R9" s="53"/>
      <c r="S9" s="53"/>
      <c r="T9" s="11"/>
    </row>
    <row r="10" spans="1:32" ht="15">
      <c r="A10" s="54" t="s">
        <v>16</v>
      </c>
      <c r="B10" s="55"/>
      <c r="C10" s="55"/>
      <c r="D10" s="55" t="s">
        <v>17</v>
      </c>
      <c r="E10" s="55"/>
      <c r="F10" s="55"/>
      <c r="G10" s="55"/>
      <c r="H10" s="55"/>
      <c r="I10" s="56"/>
      <c r="J10" s="57" t="s">
        <v>18</v>
      </c>
      <c r="K10" s="58"/>
      <c r="L10" s="5"/>
      <c r="M10" s="59"/>
      <c r="N10" s="59"/>
      <c r="O10" s="5"/>
      <c r="T10" s="18"/>
    </row>
    <row r="11" spans="1:32" ht="15">
      <c r="A11" s="60" t="s">
        <v>19</v>
      </c>
      <c r="B11" s="61"/>
      <c r="C11" s="62"/>
      <c r="D11" s="55"/>
      <c r="E11" s="55"/>
      <c r="F11" s="55"/>
      <c r="G11" s="55"/>
      <c r="H11" s="55"/>
      <c r="I11" s="56"/>
      <c r="J11" s="63"/>
      <c r="K11" s="58" t="s">
        <v>13</v>
      </c>
      <c r="L11" s="5"/>
      <c r="M11" s="59"/>
      <c r="N11" s="59"/>
      <c r="O11" s="5"/>
      <c r="T11" s="18"/>
    </row>
    <row r="12" spans="1:32" ht="15">
      <c r="A12" s="60" t="s">
        <v>20</v>
      </c>
      <c r="B12" s="61"/>
      <c r="C12" s="62"/>
      <c r="D12" s="55"/>
      <c r="E12" s="55"/>
      <c r="F12" s="55"/>
      <c r="G12" s="55"/>
      <c r="H12" s="55"/>
      <c r="I12" s="56"/>
      <c r="J12" s="63"/>
      <c r="K12" s="64"/>
      <c r="L12" s="64"/>
      <c r="M12" s="64"/>
      <c r="N12" s="64"/>
      <c r="O12" s="5"/>
      <c r="T12" s="18"/>
    </row>
    <row r="13" spans="1:32" ht="15">
      <c r="A13" s="65"/>
      <c r="B13" s="62"/>
      <c r="C13" s="62"/>
      <c r="D13" s="55"/>
      <c r="E13" s="55"/>
      <c r="F13" s="55"/>
      <c r="G13" s="55"/>
      <c r="H13" s="55"/>
      <c r="I13" s="56"/>
      <c r="J13" s="63"/>
      <c r="K13" s="5"/>
      <c r="L13" s="5"/>
      <c r="M13" s="59"/>
      <c r="N13" s="59"/>
      <c r="O13" s="5"/>
      <c r="T13" s="18"/>
    </row>
    <row r="14" spans="1:32" ht="15">
      <c r="A14" s="66"/>
      <c r="B14" s="67"/>
      <c r="C14" s="67"/>
      <c r="D14" s="68"/>
      <c r="E14" s="68"/>
      <c r="F14" s="68"/>
      <c r="G14" s="68"/>
      <c r="H14" s="68"/>
      <c r="I14" s="69"/>
      <c r="J14" s="70"/>
      <c r="K14" s="71"/>
      <c r="L14" s="71"/>
      <c r="M14" s="71"/>
      <c r="N14" s="71"/>
      <c r="O14" s="71"/>
      <c r="P14" s="72"/>
      <c r="Q14" s="72"/>
      <c r="R14" s="72"/>
      <c r="S14" s="72"/>
      <c r="T14" s="31"/>
    </row>
    <row r="15" spans="1:32" ht="25.5">
      <c r="A15" s="73" t="s">
        <v>21</v>
      </c>
      <c r="B15" s="74" t="s">
        <v>22</v>
      </c>
      <c r="C15" s="75" t="s">
        <v>23</v>
      </c>
      <c r="D15" s="76" t="s">
        <v>24</v>
      </c>
      <c r="E15" s="74" t="s">
        <v>25</v>
      </c>
      <c r="F15" s="77" t="s">
        <v>26</v>
      </c>
      <c r="G15" s="78">
        <v>1</v>
      </c>
      <c r="H15" s="78">
        <f t="shared" ref="H15:AC15" si="0">G16+1</f>
        <v>2</v>
      </c>
      <c r="I15" s="78">
        <f t="shared" si="0"/>
        <v>5</v>
      </c>
      <c r="J15" s="78">
        <f t="shared" si="0"/>
        <v>12</v>
      </c>
      <c r="K15" s="78">
        <f t="shared" si="0"/>
        <v>22</v>
      </c>
      <c r="L15" s="78">
        <f t="shared" si="0"/>
        <v>32</v>
      </c>
      <c r="M15" s="78">
        <f t="shared" si="0"/>
        <v>41</v>
      </c>
      <c r="N15" s="78">
        <f t="shared" si="0"/>
        <v>45</v>
      </c>
      <c r="O15" s="78">
        <f t="shared" si="0"/>
        <v>47</v>
      </c>
      <c r="P15" s="78">
        <f t="shared" si="0"/>
        <v>49</v>
      </c>
      <c r="Q15" s="78">
        <f t="shared" si="0"/>
        <v>50</v>
      </c>
      <c r="R15" s="78">
        <f t="shared" si="0"/>
        <v>51</v>
      </c>
      <c r="S15" s="78">
        <f t="shared" si="0"/>
        <v>51</v>
      </c>
      <c r="T15" s="78">
        <f t="shared" si="0"/>
        <v>51</v>
      </c>
      <c r="U15" s="78">
        <f t="shared" si="0"/>
        <v>51</v>
      </c>
      <c r="V15" s="78">
        <f t="shared" si="0"/>
        <v>51</v>
      </c>
      <c r="W15" s="78">
        <f t="shared" si="0"/>
        <v>51</v>
      </c>
      <c r="X15" s="78">
        <f t="shared" si="0"/>
        <v>51</v>
      </c>
      <c r="Y15" s="78">
        <f t="shared" si="0"/>
        <v>51</v>
      </c>
      <c r="Z15" s="78">
        <f t="shared" si="0"/>
        <v>51</v>
      </c>
      <c r="AA15" s="78">
        <f t="shared" si="0"/>
        <v>51</v>
      </c>
      <c r="AB15" s="78">
        <f t="shared" si="0"/>
        <v>51</v>
      </c>
      <c r="AC15" s="78">
        <f t="shared" si="0"/>
        <v>51</v>
      </c>
      <c r="AD15" s="79" t="s">
        <v>27</v>
      </c>
      <c r="AE15" s="78" t="s">
        <v>28</v>
      </c>
      <c r="AF15" s="80" t="s">
        <v>29</v>
      </c>
    </row>
    <row r="16" spans="1:32" ht="15.75">
      <c r="A16" s="73"/>
      <c r="B16" s="74"/>
      <c r="C16" s="81"/>
      <c r="D16" s="82"/>
      <c r="E16" s="74"/>
      <c r="F16" s="77" t="s">
        <v>30</v>
      </c>
      <c r="G16" s="78">
        <f t="shared" ref="G16:AC16" si="1">G15+G18-1</f>
        <v>1</v>
      </c>
      <c r="H16" s="78">
        <f t="shared" si="1"/>
        <v>4</v>
      </c>
      <c r="I16" s="78">
        <f t="shared" si="1"/>
        <v>11</v>
      </c>
      <c r="J16" s="78">
        <f t="shared" si="1"/>
        <v>21</v>
      </c>
      <c r="K16" s="78">
        <f t="shared" si="1"/>
        <v>31</v>
      </c>
      <c r="L16" s="78">
        <f t="shared" si="1"/>
        <v>40</v>
      </c>
      <c r="M16" s="78">
        <f t="shared" si="1"/>
        <v>44</v>
      </c>
      <c r="N16" s="78">
        <f t="shared" si="1"/>
        <v>46</v>
      </c>
      <c r="O16" s="78">
        <f t="shared" si="1"/>
        <v>48</v>
      </c>
      <c r="P16" s="78">
        <f t="shared" si="1"/>
        <v>49</v>
      </c>
      <c r="Q16" s="78">
        <f t="shared" si="1"/>
        <v>50</v>
      </c>
      <c r="R16" s="78">
        <f t="shared" si="1"/>
        <v>50</v>
      </c>
      <c r="S16" s="78">
        <f t="shared" si="1"/>
        <v>50</v>
      </c>
      <c r="T16" s="78">
        <f t="shared" si="1"/>
        <v>50</v>
      </c>
      <c r="U16" s="78">
        <f t="shared" si="1"/>
        <v>50</v>
      </c>
      <c r="V16" s="78">
        <f t="shared" si="1"/>
        <v>50</v>
      </c>
      <c r="W16" s="78">
        <f t="shared" si="1"/>
        <v>50</v>
      </c>
      <c r="X16" s="78">
        <f t="shared" si="1"/>
        <v>50</v>
      </c>
      <c r="Y16" s="78">
        <f t="shared" si="1"/>
        <v>50</v>
      </c>
      <c r="Z16" s="78">
        <f t="shared" si="1"/>
        <v>50</v>
      </c>
      <c r="AA16" s="78">
        <f t="shared" si="1"/>
        <v>50</v>
      </c>
      <c r="AB16" s="78">
        <f t="shared" si="1"/>
        <v>50</v>
      </c>
      <c r="AC16" s="78">
        <f t="shared" si="1"/>
        <v>50</v>
      </c>
      <c r="AD16" s="79"/>
      <c r="AE16" s="78" t="s">
        <v>31</v>
      </c>
      <c r="AF16" s="78" t="s">
        <v>31</v>
      </c>
    </row>
    <row r="17" spans="1:32">
      <c r="A17" s="83"/>
      <c r="B17" s="84"/>
      <c r="C17" s="85"/>
      <c r="D17" s="84"/>
      <c r="E17" s="84"/>
      <c r="F17" s="86" t="s">
        <v>32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8"/>
      <c r="AE17" s="88"/>
      <c r="AF17" s="88"/>
    </row>
    <row r="18" spans="1:32" ht="15.75">
      <c r="A18" s="89"/>
      <c r="B18" s="90"/>
      <c r="C18" s="90"/>
      <c r="D18" s="91" t="s">
        <v>33</v>
      </c>
      <c r="E18" s="92"/>
      <c r="F18" s="93"/>
      <c r="G18" s="94">
        <f t="shared" ref="G18:AC18" si="2">G44/20</f>
        <v>1</v>
      </c>
      <c r="H18" s="94">
        <f t="shared" si="2"/>
        <v>3</v>
      </c>
      <c r="I18" s="94">
        <f t="shared" si="2"/>
        <v>7</v>
      </c>
      <c r="J18" s="94">
        <f t="shared" si="2"/>
        <v>10</v>
      </c>
      <c r="K18" s="94">
        <f t="shared" si="2"/>
        <v>10</v>
      </c>
      <c r="L18" s="94">
        <f t="shared" si="2"/>
        <v>9</v>
      </c>
      <c r="M18" s="94">
        <f t="shared" si="2"/>
        <v>4</v>
      </c>
      <c r="N18" s="94">
        <f t="shared" si="2"/>
        <v>2</v>
      </c>
      <c r="O18" s="94">
        <f t="shared" si="2"/>
        <v>2</v>
      </c>
      <c r="P18" s="94">
        <f t="shared" si="2"/>
        <v>1</v>
      </c>
      <c r="Q18" s="94">
        <f t="shared" si="2"/>
        <v>1</v>
      </c>
      <c r="R18" s="94">
        <f t="shared" si="2"/>
        <v>0</v>
      </c>
      <c r="S18" s="94">
        <f t="shared" si="2"/>
        <v>0</v>
      </c>
      <c r="T18" s="94">
        <f t="shared" si="2"/>
        <v>0</v>
      </c>
      <c r="U18" s="94">
        <f t="shared" si="2"/>
        <v>0</v>
      </c>
      <c r="V18" s="94">
        <f t="shared" si="2"/>
        <v>0</v>
      </c>
      <c r="W18" s="94">
        <f t="shared" si="2"/>
        <v>0</v>
      </c>
      <c r="X18" s="94">
        <f t="shared" si="2"/>
        <v>0</v>
      </c>
      <c r="Y18" s="94">
        <f t="shared" si="2"/>
        <v>0</v>
      </c>
      <c r="Z18" s="94">
        <f t="shared" si="2"/>
        <v>0</v>
      </c>
      <c r="AA18" s="94">
        <f t="shared" si="2"/>
        <v>0</v>
      </c>
      <c r="AB18" s="94">
        <f t="shared" si="2"/>
        <v>0</v>
      </c>
      <c r="AC18" s="94">
        <f t="shared" si="2"/>
        <v>0</v>
      </c>
      <c r="AD18" s="95">
        <f t="shared" ref="AD18:AD43" si="3">SUM(G18:AC18)</f>
        <v>50</v>
      </c>
      <c r="AE18" s="80"/>
      <c r="AF18" s="80"/>
    </row>
    <row r="19" spans="1:32" ht="15.75">
      <c r="A19" s="96">
        <v>9013281</v>
      </c>
      <c r="B19" s="81">
        <f>SUBTOTAL(103,$C$19:C19)</f>
        <v>1</v>
      </c>
      <c r="C19" s="81" t="str">
        <f t="shared" ref="C19:C43" si="4">IF(F19&lt;100,D19&amp;""&amp;E19&amp;"0"&amp;F19,D19&amp;""&amp;E19&amp;""&amp;F19)</f>
        <v>69040404044</v>
      </c>
      <c r="D19" s="81">
        <v>6904</v>
      </c>
      <c r="E19" s="97" t="s">
        <v>34</v>
      </c>
      <c r="F19" s="98">
        <v>44</v>
      </c>
      <c r="G19" s="99">
        <v>20</v>
      </c>
      <c r="H19" s="99"/>
      <c r="I19" s="99"/>
      <c r="J19" s="99"/>
      <c r="K19" s="99"/>
      <c r="L19" s="99"/>
      <c r="M19" s="99"/>
      <c r="N19" s="99"/>
      <c r="O19" s="99"/>
      <c r="P19" s="99">
        <v>10</v>
      </c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100">
        <f t="shared" si="3"/>
        <v>30</v>
      </c>
      <c r="AE19" s="81">
        <f>AD19*0.67</f>
        <v>20.100000000000001</v>
      </c>
      <c r="AF19" s="90">
        <f>AD19*0.72</f>
        <v>21.599999999999998</v>
      </c>
    </row>
    <row r="20" spans="1:32" ht="15.75">
      <c r="A20" s="96">
        <v>9013281</v>
      </c>
      <c r="B20" s="81">
        <f>SUBTOTAL(103,$C$19:C20)</f>
        <v>2</v>
      </c>
      <c r="C20" s="81" t="str">
        <f t="shared" si="4"/>
        <v>69040404046</v>
      </c>
      <c r="D20" s="81">
        <v>6904</v>
      </c>
      <c r="E20" s="97" t="s">
        <v>34</v>
      </c>
      <c r="F20" s="98">
        <v>46</v>
      </c>
      <c r="G20" s="99"/>
      <c r="H20" s="99">
        <v>60</v>
      </c>
      <c r="I20" s="99"/>
      <c r="J20" s="99"/>
      <c r="K20" s="99"/>
      <c r="L20" s="99"/>
      <c r="M20" s="99"/>
      <c r="N20" s="99"/>
      <c r="O20" s="99"/>
      <c r="P20" s="99">
        <v>10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100">
        <f t="shared" si="3"/>
        <v>70</v>
      </c>
      <c r="AE20" s="81">
        <f>AD20*0.67</f>
        <v>46.900000000000006</v>
      </c>
      <c r="AF20" s="90">
        <f>AD20*0.74</f>
        <v>51.8</v>
      </c>
    </row>
    <row r="21" spans="1:32" ht="15.75">
      <c r="A21" s="96">
        <v>9013281</v>
      </c>
      <c r="B21" s="81">
        <f>SUBTOTAL(103,$C$19:C21)</f>
        <v>3</v>
      </c>
      <c r="C21" s="81" t="str">
        <f t="shared" si="4"/>
        <v>69040404048</v>
      </c>
      <c r="D21" s="81">
        <v>6904</v>
      </c>
      <c r="E21" s="97" t="s">
        <v>34</v>
      </c>
      <c r="F21" s="98">
        <v>48</v>
      </c>
      <c r="G21" s="99"/>
      <c r="H21" s="99"/>
      <c r="I21" s="99">
        <v>140</v>
      </c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100">
        <f t="shared" si="3"/>
        <v>140</v>
      </c>
      <c r="AE21" s="81">
        <f>AD21*0.67</f>
        <v>93.800000000000011</v>
      </c>
      <c r="AF21" s="90">
        <f>AD21*0.76</f>
        <v>106.4</v>
      </c>
    </row>
    <row r="22" spans="1:32" ht="15.75">
      <c r="A22" s="96">
        <v>9013281</v>
      </c>
      <c r="B22" s="81">
        <f>SUBTOTAL(103,$C$19:C22)</f>
        <v>4</v>
      </c>
      <c r="C22" s="81" t="str">
        <f t="shared" si="4"/>
        <v>69040404050</v>
      </c>
      <c r="D22" s="81">
        <v>6904</v>
      </c>
      <c r="E22" s="97" t="s">
        <v>34</v>
      </c>
      <c r="F22" s="98">
        <v>50</v>
      </c>
      <c r="G22" s="101"/>
      <c r="H22" s="101"/>
      <c r="I22" s="101"/>
      <c r="J22" s="101">
        <v>200</v>
      </c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0">
        <f t="shared" si="3"/>
        <v>200</v>
      </c>
      <c r="AE22" s="81">
        <f>AD22*0.67</f>
        <v>134</v>
      </c>
      <c r="AF22" s="90">
        <f>AD22*0.78</f>
        <v>156</v>
      </c>
    </row>
    <row r="23" spans="1:32" ht="15.75">
      <c r="A23" s="96">
        <v>9013281</v>
      </c>
      <c r="B23" s="81">
        <f>SUBTOTAL(103,$C$19:C23)</f>
        <v>5</v>
      </c>
      <c r="C23" s="81" t="str">
        <f t="shared" si="4"/>
        <v>69040404052</v>
      </c>
      <c r="D23" s="81">
        <v>6904</v>
      </c>
      <c r="E23" s="97" t="s">
        <v>34</v>
      </c>
      <c r="F23" s="102">
        <v>52</v>
      </c>
      <c r="G23" s="101"/>
      <c r="H23" s="101"/>
      <c r="I23" s="101"/>
      <c r="J23" s="101"/>
      <c r="K23" s="101">
        <v>200</v>
      </c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0">
        <f t="shared" si="3"/>
        <v>200</v>
      </c>
      <c r="AE23" s="81">
        <f>AD23*0.67</f>
        <v>134</v>
      </c>
      <c r="AF23" s="90">
        <f>AD23*0.79</f>
        <v>158</v>
      </c>
    </row>
    <row r="24" spans="1:32" ht="15.75">
      <c r="A24" s="96">
        <v>9013281</v>
      </c>
      <c r="B24" s="81">
        <f>SUBTOTAL(103,$C$19:C24)</f>
        <v>6</v>
      </c>
      <c r="C24" s="81" t="str">
        <f t="shared" si="4"/>
        <v>69040404054</v>
      </c>
      <c r="D24" s="81">
        <v>6904</v>
      </c>
      <c r="E24" s="97" t="s">
        <v>34</v>
      </c>
      <c r="F24" s="102">
        <v>54</v>
      </c>
      <c r="G24" s="101"/>
      <c r="H24" s="101"/>
      <c r="I24" s="101"/>
      <c r="J24" s="101"/>
      <c r="K24" s="101"/>
      <c r="L24" s="101">
        <v>180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0">
        <f t="shared" si="3"/>
        <v>180</v>
      </c>
      <c r="AE24" s="81">
        <f>AD24*0.75</f>
        <v>135</v>
      </c>
      <c r="AF24" s="90">
        <f>AD24*0.8</f>
        <v>144</v>
      </c>
    </row>
    <row r="25" spans="1:32" ht="15.75">
      <c r="A25" s="96">
        <v>9013281</v>
      </c>
      <c r="B25" s="81">
        <f>SUBTOTAL(103,$C$19:C25)</f>
        <v>7</v>
      </c>
      <c r="C25" s="81" t="str">
        <f t="shared" si="4"/>
        <v>69040404056</v>
      </c>
      <c r="D25" s="81">
        <v>6904</v>
      </c>
      <c r="E25" s="97" t="s">
        <v>34</v>
      </c>
      <c r="F25" s="102">
        <v>56</v>
      </c>
      <c r="G25" s="101"/>
      <c r="H25" s="101"/>
      <c r="I25" s="101"/>
      <c r="J25" s="101"/>
      <c r="K25" s="101"/>
      <c r="L25" s="101"/>
      <c r="M25" s="101">
        <v>80</v>
      </c>
      <c r="N25" s="101"/>
      <c r="O25" s="101"/>
      <c r="P25" s="101"/>
      <c r="Q25" s="101">
        <v>10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0">
        <f t="shared" si="3"/>
        <v>90</v>
      </c>
      <c r="AE25" s="81">
        <f>AD25*0.77</f>
        <v>69.3</v>
      </c>
      <c r="AF25" s="90">
        <f>AD25*0.82</f>
        <v>73.8</v>
      </c>
    </row>
    <row r="26" spans="1:32" ht="15.75">
      <c r="A26" s="96">
        <v>9013281</v>
      </c>
      <c r="B26" s="81">
        <f>SUBTOTAL(103,$C$19:C26)</f>
        <v>8</v>
      </c>
      <c r="C26" s="81" t="str">
        <f t="shared" si="4"/>
        <v>69040404058</v>
      </c>
      <c r="D26" s="81">
        <v>6904</v>
      </c>
      <c r="E26" s="97" t="s">
        <v>34</v>
      </c>
      <c r="F26" s="102">
        <v>58</v>
      </c>
      <c r="G26" s="101"/>
      <c r="H26" s="101"/>
      <c r="I26" s="101"/>
      <c r="J26" s="101"/>
      <c r="K26" s="101"/>
      <c r="L26" s="101"/>
      <c r="M26" s="101"/>
      <c r="N26" s="101">
        <v>40</v>
      </c>
      <c r="O26" s="101"/>
      <c r="P26" s="101"/>
      <c r="Q26" s="101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0">
        <f t="shared" si="3"/>
        <v>50</v>
      </c>
      <c r="AE26" s="81">
        <f>AD26*0.77</f>
        <v>38.5</v>
      </c>
      <c r="AF26" s="90">
        <f>AD26*0.82</f>
        <v>41</v>
      </c>
    </row>
    <row r="27" spans="1:32" ht="15.75">
      <c r="A27" s="96">
        <v>9013281</v>
      </c>
      <c r="B27" s="81">
        <f>SUBTOTAL(103,$C$19:C27)</f>
        <v>9</v>
      </c>
      <c r="C27" s="81" t="str">
        <f t="shared" si="4"/>
        <v>69040404060</v>
      </c>
      <c r="D27" s="81">
        <v>6904</v>
      </c>
      <c r="E27" s="97" t="s">
        <v>34</v>
      </c>
      <c r="F27" s="102">
        <v>60</v>
      </c>
      <c r="G27" s="101"/>
      <c r="H27" s="101"/>
      <c r="I27" s="101"/>
      <c r="J27" s="101"/>
      <c r="K27" s="101"/>
      <c r="L27" s="101"/>
      <c r="M27" s="101"/>
      <c r="N27" s="101"/>
      <c r="O27" s="101">
        <v>40</v>
      </c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0">
        <f t="shared" si="3"/>
        <v>40</v>
      </c>
      <c r="AE27" s="81">
        <f>AD27*0.77</f>
        <v>30.8</v>
      </c>
      <c r="AF27" s="90">
        <f>AD27*0.82</f>
        <v>32.799999999999997</v>
      </c>
    </row>
    <row r="28" spans="1:32" ht="15.75" hidden="1">
      <c r="A28" s="96">
        <v>9013281</v>
      </c>
      <c r="B28" s="81">
        <f>SUBTOTAL(103,$C$19:C28)</f>
        <v>9</v>
      </c>
      <c r="C28" s="81" t="str">
        <f t="shared" si="4"/>
        <v>69040404088</v>
      </c>
      <c r="D28" s="81">
        <v>6904</v>
      </c>
      <c r="E28" s="97" t="s">
        <v>34</v>
      </c>
      <c r="F28" s="102">
        <v>88</v>
      </c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0">
        <f t="shared" si="3"/>
        <v>0</v>
      </c>
      <c r="AE28" s="81">
        <f>AD28*0.79</f>
        <v>0</v>
      </c>
      <c r="AF28" s="90">
        <f>AD28*0.84</f>
        <v>0</v>
      </c>
    </row>
    <row r="29" spans="1:32" ht="15.75" hidden="1">
      <c r="A29" s="96">
        <v>9013281</v>
      </c>
      <c r="B29" s="81">
        <f>SUBTOTAL(103,$C$19:C29)</f>
        <v>9</v>
      </c>
      <c r="C29" s="81" t="str">
        <f t="shared" si="4"/>
        <v>69040404092</v>
      </c>
      <c r="D29" s="81">
        <v>6904</v>
      </c>
      <c r="E29" s="97" t="s">
        <v>34</v>
      </c>
      <c r="F29" s="102">
        <v>92</v>
      </c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0">
        <f t="shared" si="3"/>
        <v>0</v>
      </c>
      <c r="AE29" s="81">
        <f>AD29*0.79</f>
        <v>0</v>
      </c>
      <c r="AF29" s="90">
        <f>AD29*0.84</f>
        <v>0</v>
      </c>
    </row>
    <row r="30" spans="1:32" ht="15.75" hidden="1">
      <c r="A30" s="96">
        <v>9013281</v>
      </c>
      <c r="B30" s="81">
        <f>SUBTOTAL(103,$C$19:C30)</f>
        <v>9</v>
      </c>
      <c r="C30" s="81" t="str">
        <f t="shared" si="4"/>
        <v>69040404058</v>
      </c>
      <c r="D30" s="81">
        <v>6904</v>
      </c>
      <c r="E30" s="97" t="s">
        <v>34</v>
      </c>
      <c r="F30" s="102">
        <v>58</v>
      </c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0">
        <f t="shared" si="3"/>
        <v>0</v>
      </c>
      <c r="AE30" s="81">
        <f>AD30*0.67</f>
        <v>0</v>
      </c>
      <c r="AF30" s="90">
        <f>AD30*0.72</f>
        <v>0</v>
      </c>
    </row>
    <row r="31" spans="1:32" ht="15.75" hidden="1">
      <c r="A31" s="96">
        <v>9013281</v>
      </c>
      <c r="B31" s="81">
        <f>SUBTOTAL(103,$C$19:C31)</f>
        <v>9</v>
      </c>
      <c r="C31" s="81" t="str">
        <f t="shared" si="4"/>
        <v>69040404060</v>
      </c>
      <c r="D31" s="81">
        <v>6904</v>
      </c>
      <c r="E31" s="97" t="s">
        <v>34</v>
      </c>
      <c r="F31" s="102">
        <v>60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0">
        <f t="shared" si="3"/>
        <v>0</v>
      </c>
      <c r="AE31" s="81">
        <f>AD31*0.77</f>
        <v>0</v>
      </c>
      <c r="AF31" s="90">
        <f>AD31*0.82</f>
        <v>0</v>
      </c>
    </row>
    <row r="32" spans="1:32" ht="15.75" hidden="1">
      <c r="A32" s="96">
        <v>9013281</v>
      </c>
      <c r="B32" s="81">
        <f>SUBTOTAL(103,$C$19:C32)</f>
        <v>9</v>
      </c>
      <c r="C32" s="81" t="str">
        <f t="shared" si="4"/>
        <v>69040404060</v>
      </c>
      <c r="D32" s="81">
        <v>6904</v>
      </c>
      <c r="E32" s="97" t="s">
        <v>34</v>
      </c>
      <c r="F32" s="102">
        <v>60</v>
      </c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0">
        <f t="shared" si="3"/>
        <v>0</v>
      </c>
      <c r="AE32" s="81">
        <f>AD32*0.77</f>
        <v>0</v>
      </c>
      <c r="AF32" s="90">
        <f>AD32*0.82</f>
        <v>0</v>
      </c>
    </row>
    <row r="33" spans="1:32" ht="15.75" hidden="1">
      <c r="A33" s="96">
        <v>9013281</v>
      </c>
      <c r="B33" s="81">
        <f>SUBTOTAL(103,$C$19:C33)</f>
        <v>9</v>
      </c>
      <c r="C33" s="81" t="str">
        <f t="shared" si="4"/>
        <v>69040404062</v>
      </c>
      <c r="D33" s="81">
        <v>6904</v>
      </c>
      <c r="E33" s="97" t="s">
        <v>34</v>
      </c>
      <c r="F33" s="102">
        <v>62</v>
      </c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0">
        <f t="shared" si="3"/>
        <v>0</v>
      </c>
      <c r="AE33" s="81">
        <f>AD33*0.79</f>
        <v>0</v>
      </c>
      <c r="AF33" s="90">
        <f>AD33*0.84</f>
        <v>0</v>
      </c>
    </row>
    <row r="34" spans="1:32" ht="15.75" hidden="1">
      <c r="A34" s="96">
        <v>9013281</v>
      </c>
      <c r="B34" s="81">
        <f>SUBTOTAL(103,$C$19:C34)</f>
        <v>9</v>
      </c>
      <c r="C34" s="81" t="str">
        <f t="shared" si="4"/>
        <v>69040404064</v>
      </c>
      <c r="D34" s="81">
        <v>6904</v>
      </c>
      <c r="E34" s="97" t="s">
        <v>34</v>
      </c>
      <c r="F34" s="102">
        <v>64</v>
      </c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0">
        <f t="shared" si="3"/>
        <v>0</v>
      </c>
      <c r="AE34" s="81">
        <f>AD34*0.79</f>
        <v>0</v>
      </c>
      <c r="AF34" s="90">
        <f>AD34*0.84</f>
        <v>0</v>
      </c>
    </row>
    <row r="35" spans="1:32" ht="15.75" hidden="1">
      <c r="A35" s="96">
        <v>9013281</v>
      </c>
      <c r="B35" s="81">
        <f>SUBTOTAL(103,$C$19:C35)</f>
        <v>9</v>
      </c>
      <c r="C35" s="81" t="str">
        <f t="shared" si="4"/>
        <v>69040404124</v>
      </c>
      <c r="D35" s="81">
        <v>6904</v>
      </c>
      <c r="E35" s="97" t="s">
        <v>34</v>
      </c>
      <c r="F35" s="102">
        <v>124</v>
      </c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0">
        <f t="shared" si="3"/>
        <v>0</v>
      </c>
      <c r="AE35" s="81">
        <f>AD35*0.67</f>
        <v>0</v>
      </c>
      <c r="AF35" s="90">
        <f>AD35*0.72</f>
        <v>0</v>
      </c>
    </row>
    <row r="36" spans="1:32" ht="15.75" hidden="1">
      <c r="A36" s="96">
        <v>9013281</v>
      </c>
      <c r="B36" s="81">
        <f>SUBTOTAL(103,$C$19:C36)</f>
        <v>9</v>
      </c>
      <c r="C36" s="81" t="str">
        <f t="shared" si="4"/>
        <v>69040404150</v>
      </c>
      <c r="D36" s="81">
        <v>6904</v>
      </c>
      <c r="E36" s="97" t="s">
        <v>34</v>
      </c>
      <c r="F36" s="102">
        <v>150</v>
      </c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0">
        <f t="shared" si="3"/>
        <v>0</v>
      </c>
      <c r="AE36" s="81">
        <f>AD36*0.77</f>
        <v>0</v>
      </c>
      <c r="AF36" s="90">
        <f>AD36*0.82</f>
        <v>0</v>
      </c>
    </row>
    <row r="37" spans="1:32" ht="15.75" hidden="1">
      <c r="A37" s="96">
        <v>9013281</v>
      </c>
      <c r="B37" s="81">
        <f>SUBTOTAL(103,$C$19:C37)</f>
        <v>9</v>
      </c>
      <c r="C37" s="81" t="str">
        <f t="shared" si="4"/>
        <v>69040404152</v>
      </c>
      <c r="D37" s="81">
        <v>6904</v>
      </c>
      <c r="E37" s="97" t="s">
        <v>34</v>
      </c>
      <c r="F37" s="102">
        <v>152</v>
      </c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0">
        <f t="shared" si="3"/>
        <v>0</v>
      </c>
      <c r="AE37" s="81">
        <f>AD37*0.79</f>
        <v>0</v>
      </c>
      <c r="AF37" s="90">
        <f>AD37*0.84</f>
        <v>0</v>
      </c>
    </row>
    <row r="38" spans="1:32" ht="15.75" hidden="1">
      <c r="A38" s="96">
        <v>9013281</v>
      </c>
      <c r="B38" s="81">
        <f>SUBTOTAL(103,$C$19:C38)</f>
        <v>9</v>
      </c>
      <c r="C38" s="81" t="str">
        <f t="shared" si="4"/>
        <v>69040404154</v>
      </c>
      <c r="D38" s="81">
        <v>6904</v>
      </c>
      <c r="E38" s="97" t="s">
        <v>34</v>
      </c>
      <c r="F38" s="102">
        <v>154</v>
      </c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0">
        <f t="shared" si="3"/>
        <v>0</v>
      </c>
      <c r="AE38" s="81">
        <f>AD38*0.79</f>
        <v>0</v>
      </c>
      <c r="AF38" s="90">
        <f>AD38*0.84</f>
        <v>0</v>
      </c>
    </row>
    <row r="39" spans="1:32" ht="15.75" hidden="1">
      <c r="A39" s="96">
        <v>9013281</v>
      </c>
      <c r="B39" s="81">
        <f>SUBTOTAL(103,$C$19:C39)</f>
        <v>9</v>
      </c>
      <c r="C39" s="81" t="str">
        <f t="shared" si="4"/>
        <v>69040404158</v>
      </c>
      <c r="D39" s="81">
        <v>6904</v>
      </c>
      <c r="E39" s="97" t="s">
        <v>34</v>
      </c>
      <c r="F39" s="102">
        <v>158</v>
      </c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0">
        <f t="shared" si="3"/>
        <v>0</v>
      </c>
      <c r="AE39" s="81">
        <f t="shared" ref="AE39:AE41" si="5">AD39*0.67</f>
        <v>0</v>
      </c>
      <c r="AF39" s="90">
        <f t="shared" ref="AF39:AF41" si="6">AD39*0.72</f>
        <v>0</v>
      </c>
    </row>
    <row r="40" spans="1:32" ht="15.75" hidden="1">
      <c r="A40" s="96">
        <v>9013281</v>
      </c>
      <c r="B40" s="81">
        <f>SUBTOTAL(103,$C$19:C40)</f>
        <v>9</v>
      </c>
      <c r="C40" s="81" t="str">
        <f t="shared" si="4"/>
        <v>69040404160</v>
      </c>
      <c r="D40" s="81">
        <v>6904</v>
      </c>
      <c r="E40" s="97" t="s">
        <v>34</v>
      </c>
      <c r="F40" s="102">
        <v>160</v>
      </c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0">
        <f t="shared" si="3"/>
        <v>0</v>
      </c>
      <c r="AE40" s="81">
        <f t="shared" si="5"/>
        <v>0</v>
      </c>
      <c r="AF40" s="90">
        <f t="shared" si="6"/>
        <v>0</v>
      </c>
    </row>
    <row r="41" spans="1:32" ht="15.75" hidden="1">
      <c r="A41" s="96">
        <v>9013281</v>
      </c>
      <c r="B41" s="81">
        <f>SUBTOTAL(103,$C$19:C41)</f>
        <v>9</v>
      </c>
      <c r="C41" s="81" t="str">
        <f t="shared" si="4"/>
        <v>69040404250</v>
      </c>
      <c r="D41" s="81">
        <v>6904</v>
      </c>
      <c r="E41" s="97" t="s">
        <v>34</v>
      </c>
      <c r="F41" s="102">
        <v>250</v>
      </c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0">
        <f t="shared" si="3"/>
        <v>0</v>
      </c>
      <c r="AE41" s="81">
        <f t="shared" si="5"/>
        <v>0</v>
      </c>
      <c r="AF41" s="90">
        <f t="shared" si="6"/>
        <v>0</v>
      </c>
    </row>
    <row r="42" spans="1:32" ht="15.75" hidden="1">
      <c r="A42" s="96">
        <v>9013281</v>
      </c>
      <c r="B42" s="81">
        <f>SUBTOTAL(103,$C$19:C42)</f>
        <v>9</v>
      </c>
      <c r="C42" s="81" t="str">
        <f t="shared" si="4"/>
        <v>69040404252</v>
      </c>
      <c r="D42" s="81">
        <v>6904</v>
      </c>
      <c r="E42" s="97" t="s">
        <v>34</v>
      </c>
      <c r="F42" s="102">
        <v>252</v>
      </c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0">
        <f t="shared" si="3"/>
        <v>0</v>
      </c>
      <c r="AE42" s="81">
        <f>AD42*0.67</f>
        <v>0</v>
      </c>
      <c r="AF42" s="90">
        <f>AD42*0.74</f>
        <v>0</v>
      </c>
    </row>
    <row r="43" spans="1:32" ht="15.75" hidden="1">
      <c r="A43" s="96">
        <v>9013281</v>
      </c>
      <c r="B43" s="81">
        <f>SUBTOTAL(103,$C$19:C43)</f>
        <v>9</v>
      </c>
      <c r="C43" s="81" t="str">
        <f t="shared" si="4"/>
        <v>69040404254</v>
      </c>
      <c r="D43" s="81">
        <v>6904</v>
      </c>
      <c r="E43" s="97" t="s">
        <v>34</v>
      </c>
      <c r="F43" s="102">
        <v>254</v>
      </c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0">
        <f t="shared" si="3"/>
        <v>0</v>
      </c>
      <c r="AE43" s="81">
        <f>AD43*0.67</f>
        <v>0</v>
      </c>
      <c r="AF43" s="90">
        <f>AD43*0.74</f>
        <v>0</v>
      </c>
    </row>
    <row r="44" spans="1:32" ht="15.75">
      <c r="A44" s="96"/>
      <c r="B44" s="81"/>
      <c r="C44" s="81"/>
      <c r="D44" s="81"/>
      <c r="E44" s="81" t="s">
        <v>35</v>
      </c>
      <c r="F44" s="81"/>
      <c r="G44" s="81">
        <f t="shared" ref="G44:AF44" si="7">SUM(G19:G43)</f>
        <v>20</v>
      </c>
      <c r="H44" s="81">
        <f t="shared" si="7"/>
        <v>60</v>
      </c>
      <c r="I44" s="81">
        <f t="shared" si="7"/>
        <v>140</v>
      </c>
      <c r="J44" s="81">
        <f t="shared" si="7"/>
        <v>200</v>
      </c>
      <c r="K44" s="81">
        <f t="shared" si="7"/>
        <v>200</v>
      </c>
      <c r="L44" s="81">
        <f t="shared" si="7"/>
        <v>180</v>
      </c>
      <c r="M44" s="81">
        <f t="shared" si="7"/>
        <v>80</v>
      </c>
      <c r="N44" s="81">
        <f>SUM(N19:N43)</f>
        <v>40</v>
      </c>
      <c r="O44" s="81">
        <f t="shared" si="7"/>
        <v>40</v>
      </c>
      <c r="P44" s="81">
        <f t="shared" si="7"/>
        <v>20</v>
      </c>
      <c r="Q44" s="81">
        <f t="shared" si="7"/>
        <v>20</v>
      </c>
      <c r="R44" s="81">
        <f t="shared" si="7"/>
        <v>0</v>
      </c>
      <c r="S44" s="81">
        <f t="shared" si="7"/>
        <v>0</v>
      </c>
      <c r="T44" s="81">
        <f t="shared" si="7"/>
        <v>0</v>
      </c>
      <c r="U44" s="81">
        <f t="shared" si="7"/>
        <v>0</v>
      </c>
      <c r="V44" s="81">
        <f t="shared" si="7"/>
        <v>0</v>
      </c>
      <c r="W44" s="81">
        <f t="shared" si="7"/>
        <v>0</v>
      </c>
      <c r="X44" s="81">
        <f t="shared" si="7"/>
        <v>0</v>
      </c>
      <c r="Y44" s="81">
        <f t="shared" si="7"/>
        <v>0</v>
      </c>
      <c r="Z44" s="81">
        <f t="shared" si="7"/>
        <v>0</v>
      </c>
      <c r="AA44" s="81">
        <f t="shared" si="7"/>
        <v>0</v>
      </c>
      <c r="AB44" s="81">
        <f t="shared" si="7"/>
        <v>0</v>
      </c>
      <c r="AC44" s="81">
        <f t="shared" si="7"/>
        <v>0</v>
      </c>
      <c r="AD44" s="81">
        <f>SUM(AD19:AD43)</f>
        <v>1000</v>
      </c>
      <c r="AE44" s="81">
        <f t="shared" si="7"/>
        <v>702.39999999999986</v>
      </c>
      <c r="AF44" s="81">
        <f t="shared" si="7"/>
        <v>785.39999999999986</v>
      </c>
    </row>
  </sheetData>
  <mergeCells count="20">
    <mergeCell ref="AD15:AD16"/>
    <mergeCell ref="F17:AC17"/>
    <mergeCell ref="D18:F18"/>
    <mergeCell ref="L7:T7"/>
    <mergeCell ref="J8:M8"/>
    <mergeCell ref="A10:C10"/>
    <mergeCell ref="D10:I14"/>
    <mergeCell ref="K12:N12"/>
    <mergeCell ref="A15:A16"/>
    <mergeCell ref="B15:B16"/>
    <mergeCell ref="D15:D16"/>
    <mergeCell ref="E15:E16"/>
    <mergeCell ref="P3:Q3"/>
    <mergeCell ref="R3:T3"/>
    <mergeCell ref="L4:O4"/>
    <mergeCell ref="P4:T4"/>
    <mergeCell ref="P5:T5"/>
    <mergeCell ref="K6:O6"/>
    <mergeCell ref="P6:Q6"/>
    <mergeCell ref="R6:T6"/>
  </mergeCells>
  <pageMargins left="0.24" right="0.16" top="0.75" bottom="0.75" header="0.3" footer="0.3"/>
  <pageSetup paperSize="9" scale="8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14B6-A25C-4EDC-A8C2-26F3FD4EE1F2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281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Đức</dc:creator>
  <cp:lastModifiedBy>Lê Đức</cp:lastModifiedBy>
  <dcterms:created xsi:type="dcterms:W3CDTF">2026-03-28T08:35:32Z</dcterms:created>
  <dcterms:modified xsi:type="dcterms:W3CDTF">2026-03-28T08:36:06Z</dcterms:modified>
</cp:coreProperties>
</file>